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סימולציה" sheetId="1" state="visible" r:id="rId1"/>
    <sheet xmlns:r="http://schemas.openxmlformats.org/officeDocument/2006/relationships" name="משאיות" sheetId="2" state="visible" r:id="rId2"/>
    <sheet xmlns:r="http://schemas.openxmlformats.org/officeDocument/2006/relationships" name="פריטים" sheetId="3" state="visible" r:id="rId3"/>
    <sheet xmlns:r="http://schemas.openxmlformats.org/officeDocument/2006/relationships" name="פריטים קבועים" sheetId="4" state="visible" r:id="rId4"/>
    <sheet xmlns:r="http://schemas.openxmlformats.org/officeDocument/2006/relationships" name="מלאים וריקים" sheetId="5" state="visible" r:id="rId5"/>
    <sheet xmlns:r="http://schemas.openxmlformats.org/officeDocument/2006/relationships" name="קבועים" sheetId="6" state="visible" r:id="rId6"/>
    <sheet xmlns:r="http://schemas.openxmlformats.org/officeDocument/2006/relationships" name="הוראות" sheetId="7" state="visible" r:id="rId7"/>
  </sheets>
  <definedNames>
    <definedName name="_xlnm.Print_Area" localSheetId="0">'סימולציה'!$B$2:$H$39</definedName>
    <definedName name="_xlnm._FilterDatabase" localSheetId="1" hidden="1">'משאיות'!$A$1:$L$7</definedName>
    <definedName name="_xlnm._FilterDatabase" localSheetId="2" hidden="1">'פריטים'!$A$1:$I$10</definedName>
    <definedName name="_xlnm._FilterDatabase" localSheetId="3" hidden="1">'פריטים קבועים'!$A$1:$H$4</definedName>
    <definedName name="_xlnm._FilterDatabase" localSheetId="4" hidden="1">'מלאים וריקים'!$A$1:$F$1</definedName>
    <definedName name="_xlnm._FilterDatabase" localSheetId="5" hidden="1">'קבועים'!$A$1:$F$11</definedName>
  </definedNames>
  <calcPr calcId="191029" calcMode="auto" fullCalcOnLoad="1" forceFullCalc="1"/>
</workbook>
</file>

<file path=xl/styles.xml><?xml version="1.0" encoding="utf-8"?>
<styleSheet xmlns="http://schemas.openxmlformats.org/spreadsheetml/2006/main">
  <numFmts count="6">
    <numFmt numFmtId="164" formatCode="#,##0\ &quot;ק״ג&quot;"/>
    <numFmt numFmtId="165" formatCode="#,##0.0\ &quot;ק״ג&quot;"/>
    <numFmt numFmtId="166" formatCode="0&quot;%&quot;"/>
    <numFmt numFmtId="167" formatCode="#,##0 &quot;ק״ג&quot;"/>
    <numFmt numFmtId="168" formatCode="#,##0.0 &quot;ק״ג&quot;"/>
    <numFmt numFmtId="169" formatCode="0.0%"/>
  </numFmts>
  <fonts count="13">
    <font>
      <name val="Arial"/>
      <family val="2"/>
      <color theme="1"/>
      <sz val="11"/>
      <scheme val="minor"/>
    </font>
    <font>
      <name val="Arial"/>
      <b val="1"/>
      <color rgb="FFFFFFFF"/>
      <sz val="11"/>
    </font>
    <font>
      <name val="Arial"/>
      <color rgb="FF0000FF"/>
      <sz val="11"/>
    </font>
    <font>
      <name val="Arial"/>
      <color rgb="FF000000"/>
      <sz val="11"/>
    </font>
    <font>
      <name val="Arial"/>
      <color rgb="FF008000"/>
      <sz val="11"/>
    </font>
    <font>
      <name val="Arial"/>
      <color rgb="FF666666"/>
      <sz val="11"/>
    </font>
    <font>
      <name val="Arial"/>
      <b val="1"/>
      <color rgb="FFFFFFFF"/>
      <sz val="18"/>
    </font>
    <font>
      <name val="Arial"/>
      <b val="1"/>
      <color rgb="FF0B4F8A"/>
      <sz val="11"/>
    </font>
    <font>
      <b val="1"/>
      <color rgb="00FFFFFF"/>
      <sz val="18"/>
    </font>
    <font>
      <b val="1"/>
      <color rgb="00FFFFFF"/>
    </font>
    <font>
      <b val="1"/>
    </font>
    <font>
      <color rgb="000000FF"/>
    </font>
    <font>
      <color rgb="00008000"/>
    </font>
  </fonts>
  <fills count="11">
    <fill>
      <patternFill/>
    </fill>
    <fill>
      <patternFill patternType="gray125"/>
    </fill>
    <fill>
      <patternFill patternType="solid">
        <fgColor rgb="FF0B4F8A"/>
      </patternFill>
    </fill>
    <fill>
      <patternFill patternType="solid">
        <fgColor rgb="FFDCEEFF"/>
      </patternFill>
    </fill>
    <fill>
      <patternFill patternType="solid">
        <fgColor rgb="0017365D"/>
      </patternFill>
    </fill>
    <fill>
      <patternFill patternType="solid">
        <fgColor rgb="00E7E6E6"/>
      </patternFill>
    </fill>
    <fill>
      <patternFill patternType="solid">
        <fgColor rgb="00E2F0D9"/>
      </patternFill>
    </fill>
    <fill>
      <patternFill patternType="solid">
        <fgColor rgb="005B9BD5"/>
      </patternFill>
    </fill>
    <fill>
      <patternFill patternType="solid">
        <fgColor rgb="0070AD47"/>
      </patternFill>
    </fill>
    <fill>
      <patternFill patternType="solid">
        <fgColor rgb="00FCE4D6"/>
      </patternFill>
    </fill>
    <fill>
      <patternFill patternType="solid">
        <fgColor rgb="00DDEBF7"/>
      </patternFill>
    </fill>
  </fills>
  <borders count="2">
    <border>
      <left/>
      <right/>
      <top/>
      <bottom/>
      <diagonal/>
    </border>
    <border>
      <bottom style="thin">
        <color rgb="00B7B7B7"/>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center" wrapText="1"/>
    </xf>
    <xf numFmtId="164" fontId="2" fillId="0" borderId="0" applyAlignment="1" pivotButton="0" quotePrefix="0" xfId="0">
      <alignment vertical="center" wrapText="1"/>
    </xf>
    <xf numFmtId="164" fontId="3" fillId="0" borderId="0" applyAlignment="1" pivotButton="0" quotePrefix="0" xfId="0">
      <alignment vertical="center" wrapText="1"/>
    </xf>
    <xf numFmtId="165" fontId="2" fillId="0" borderId="0" applyAlignment="1" pivotButton="0" quotePrefix="0" xfId="0">
      <alignment vertical="center" wrapText="1"/>
    </xf>
    <xf numFmtId="165" fontId="3" fillId="0" borderId="0" applyAlignment="1" pivotButton="0" quotePrefix="0" xfId="0">
      <alignment vertical="center" wrapText="1"/>
    </xf>
    <xf numFmtId="0" fontId="4" fillId="0" borderId="0" applyAlignment="1" pivotButton="0" quotePrefix="0" xfId="0">
      <alignment vertical="center"/>
    </xf>
    <xf numFmtId="165" fontId="4" fillId="0" borderId="0" applyAlignment="1" pivotButton="0" quotePrefix="0" xfId="0">
      <alignment vertical="center"/>
    </xf>
    <xf numFmtId="0" fontId="5" fillId="0" borderId="0" applyAlignment="1" pivotButton="0" quotePrefix="0" xfId="0">
      <alignment vertical="center" wrapText="1"/>
    </xf>
    <xf numFmtId="166" fontId="5" fillId="0" borderId="0" applyAlignment="1" pivotButton="0" quotePrefix="0" xfId="0">
      <alignment vertical="center" wrapText="1"/>
    </xf>
    <xf numFmtId="0" fontId="7" fillId="3" borderId="0" pivotButton="0" quotePrefix="0" xfId="0"/>
    <xf numFmtId="0" fontId="0" fillId="0" borderId="0" applyAlignment="1" pivotButton="0" quotePrefix="0" xfId="0">
      <alignment vertical="top" wrapText="1"/>
    </xf>
    <xf numFmtId="0" fontId="6" fillId="2" borderId="0" applyAlignment="1" pivotButton="0" quotePrefix="0" xfId="0">
      <alignment horizontal="center"/>
    </xf>
    <xf numFmtId="0" fontId="0" fillId="0" borderId="0" pivotButton="0" quotePrefix="0" xfId="0"/>
    <xf numFmtId="0" fontId="8" fillId="4" borderId="0" applyAlignment="1" pivotButton="0" quotePrefix="0" xfId="0">
      <alignment horizontal="center"/>
    </xf>
    <xf numFmtId="0" fontId="9" fillId="4" borderId="0" pivotButton="0" quotePrefix="0" xfId="0"/>
    <xf numFmtId="0" fontId="10" fillId="5" borderId="0" pivotButton="0" quotePrefix="0" xfId="0"/>
    <xf numFmtId="0" fontId="11" fillId="0" borderId="0" pivotButton="0" quotePrefix="0" xfId="0"/>
    <xf numFmtId="167" fontId="12" fillId="6" borderId="0" pivotButton="0" quotePrefix="0" xfId="0"/>
    <xf numFmtId="0" fontId="12" fillId="6" borderId="0" pivotButton="0" quotePrefix="0" xfId="0"/>
    <xf numFmtId="0" fontId="9" fillId="7" borderId="0" applyAlignment="1" pivotButton="0" quotePrefix="0" xfId="0">
      <alignment horizontal="center"/>
    </xf>
    <xf numFmtId="0" fontId="0" fillId="0" borderId="1" pivotButton="0" quotePrefix="0" xfId="0"/>
    <xf numFmtId="0" fontId="11" fillId="0" borderId="1" pivotButton="0" quotePrefix="0" xfId="0"/>
    <xf numFmtId="168" fontId="0" fillId="0" borderId="1" pivotButton="0" quotePrefix="0" xfId="0"/>
    <xf numFmtId="0" fontId="9" fillId="8" borderId="0" pivotButton="0" quotePrefix="0" xfId="0"/>
    <xf numFmtId="167" fontId="0" fillId="0" borderId="1" pivotButton="0" quotePrefix="0" xfId="0"/>
    <xf numFmtId="168" fontId="10" fillId="0" borderId="0" pivotButton="0" quotePrefix="0" xfId="0"/>
    <xf numFmtId="0" fontId="10" fillId="9" borderId="0" applyAlignment="1" pivotButton="0" quotePrefix="0" xfId="0">
      <alignment horizontal="center" vertical="center" wrapText="1"/>
    </xf>
    <xf numFmtId="169" fontId="10" fillId="0" borderId="0" pivotButton="0" quotePrefix="0" xfId="0"/>
    <xf numFmtId="0" fontId="10" fillId="6" borderId="0" pivotButton="0" quotePrefix="0" xfId="0"/>
    <xf numFmtId="0" fontId="0" fillId="10" borderId="0" applyAlignment="1" pivotButton="0" quotePrefix="0" xfId="0">
      <alignment vertical="center" wrapText="1"/>
    </xf>
  </cellXfs>
  <cellStyles count="1">
    <cellStyle name="Normal" xfId="0" builtinId="0"/>
  </cellStyles>
  <dxfs count="3">
    <dxf>
      <fill>
        <patternFill patternType="solid">
          <fgColor rgb="FFFFC7CE"/>
        </patternFill>
      </fill>
    </dxf>
    <dxf>
      <fill>
        <patternFill patternType="solid">
          <fgColor rgb="00F4CC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OpenAI</author>
  </authors>
  <commentList>
    <comment ref="I2" authorId="0" shapeId="0">
      <text>
        <t>כושר ההעמסה מחושב אוטומטית: משקל כולל מותר פחות משקל עצמי.</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2:H39"/>
  <sheetViews>
    <sheetView showGridLines="0" rightToLeft="1" workbookViewId="0">
      <pane xSplit="1" ySplit="9" topLeftCell="B10" activePane="bottomRight" state="frozen"/>
      <selection pane="topRight"/>
      <selection pane="bottomLeft"/>
      <selection pane="bottomRight" activeCell="A1" sqref="A1"/>
    </sheetView>
  </sheetViews>
  <sheetFormatPr baseColWidth="8" defaultRowHeight="15"/>
  <cols>
    <col width="3" customWidth="1" style="14" min="1" max="1"/>
    <col width="24" customWidth="1" style="14" min="2" max="2"/>
    <col width="18" customWidth="1" style="14" min="3" max="3"/>
    <col width="16" customWidth="1" style="14" min="4" max="4"/>
    <col width="16" customWidth="1" style="14" min="5" max="5"/>
    <col width="18" customWidth="1" style="14" min="6" max="6"/>
    <col width="22" customWidth="1" style="14" min="7" max="7"/>
    <col width="18" customWidth="1" style="14" min="8" max="8"/>
  </cols>
  <sheetData>
    <row r="2" ht="30" customHeight="1" s="14">
      <c r="B2" s="15" t="inlineStr">
        <is>
          <t>MAX Load – סימולציית העמסה</t>
        </is>
      </c>
    </row>
    <row r="4">
      <c r="B4" s="16" t="inlineStr">
        <is>
          <t>בחירת משאית</t>
        </is>
      </c>
    </row>
    <row r="5">
      <c r="B5" s="17" t="inlineStr">
        <is>
          <t>משאית:</t>
        </is>
      </c>
      <c r="C5" s="18" t="inlineStr">
        <is>
          <t>IVECO מדיקל · 67793404</t>
        </is>
      </c>
    </row>
    <row r="6">
      <c r="B6" s="17" t="inlineStr">
        <is>
          <t>משקל עצמי:</t>
        </is>
      </c>
      <c r="C6" s="19">
        <f>INDEX('משאיות'!$G$2:$G$7,MATCH($C$5,'משאיות'!$F$2:$F$7,0))</f>
        <v/>
      </c>
      <c r="D6" s="17" t="inlineStr">
        <is>
          <t>משקל כולל מותר:</t>
        </is>
      </c>
      <c r="E6" s="19">
        <f>INDEX('משאיות'!$H$2:$H$7,MATCH($C$5,'משאיות'!$F$2:$F$7,0))</f>
        <v/>
      </c>
      <c r="F6" s="17" t="inlineStr">
        <is>
          <t>כושר העמסה:</t>
        </is>
      </c>
      <c r="G6" s="19">
        <f>E6-C6</f>
        <v/>
      </c>
    </row>
    <row r="7">
      <c r="B7" s="17" t="inlineStr">
        <is>
          <t>מגבלת רמפה:</t>
        </is>
      </c>
      <c r="C7" s="19">
        <f>INDEX('משאיות'!$J$2:$J$7,MATCH($C$5,'משאיות'!$F$2:$F$7,0))</f>
        <v/>
      </c>
      <c r="D7" s="17" t="inlineStr">
        <is>
          <t>ייעוד:</t>
        </is>
      </c>
      <c r="E7" s="20">
        <f>INDEX('משאיות'!$D$2:$D$7,MATCH($C$5,'משאיות'!$F$2:$F$7,0))</f>
        <v/>
      </c>
      <c r="F7" s="17" t="inlineStr">
        <is>
          <t>מספר משאית:</t>
        </is>
      </c>
      <c r="G7" s="20">
        <f>INDEX('משאיות'!$E$2:$E$7,MATCH($C$5,'משאיות'!$F$2:$F$7,0))</f>
        <v/>
      </c>
    </row>
    <row r="9">
      <c r="B9" s="16" t="inlineStr">
        <is>
          <t>פריטים מלאים וריקים</t>
        </is>
      </c>
    </row>
    <row r="10">
      <c r="B10" s="21" t="inlineStr">
        <is>
          <t>מס׳</t>
        </is>
      </c>
      <c r="C10" s="21" t="inlineStr">
        <is>
          <t>פריט</t>
        </is>
      </c>
      <c r="D10" s="21" t="inlineStr">
        <is>
          <t>מצב</t>
        </is>
      </c>
      <c r="E10" s="21" t="inlineStr">
        <is>
          <t>כמות</t>
        </is>
      </c>
      <c r="F10" s="21" t="inlineStr">
        <is>
          <t>משקל יחידה</t>
        </is>
      </c>
      <c r="G10" s="21" t="inlineStr">
        <is>
          <t>משקל כולל</t>
        </is>
      </c>
      <c r="H10" s="21" t="inlineStr">
        <is>
          <t>הערה</t>
        </is>
      </c>
    </row>
    <row r="11">
      <c r="B11" s="22" t="n">
        <v>1</v>
      </c>
      <c r="C11" s="23" t="inlineStr">
        <is>
          <t>גליל גז</t>
        </is>
      </c>
      <c r="D11" s="23" t="inlineStr">
        <is>
          <t>ריק</t>
        </is>
      </c>
      <c r="E11" s="23" t="n">
        <v>7</v>
      </c>
      <c r="F11" s="24">
        <f>IF(C11="","",IF(D11="מלא",INDEX('פריטים'!$F$2:$F$10,MATCH(C11,'פריטים'!$D$2:$D$10,0)),INDEX('פריטים'!$E$2:$E$10,MATCH(C11,'פריטים'!$D$2:$D$10,0))))</f>
        <v/>
      </c>
      <c r="G11" s="24">
        <f>IF(OR(E11="",F11=""),"",E11*F11)</f>
        <v/>
      </c>
      <c r="H11" s="22" t="n"/>
    </row>
    <row r="12">
      <c r="B12" s="22" t="n">
        <v>2</v>
      </c>
      <c r="C12" s="22" t="n"/>
      <c r="D12" s="22" t="n"/>
      <c r="E12" s="23" t="n">
        <v>0</v>
      </c>
      <c r="F12" s="24">
        <f>IF(C12="","",IF(D12="מלא",INDEX('פריטים'!$F$2:$F$10,MATCH(C12,'פריטים'!$D$2:$D$10,0)),INDEX('פריטים'!$E$2:$E$10,MATCH(C12,'פריטים'!$D$2:$D$10,0))))</f>
        <v/>
      </c>
      <c r="G12" s="24">
        <f>IF(OR(E12="",F12=""),"",E12*F12)</f>
        <v/>
      </c>
      <c r="H12" s="22" t="n"/>
    </row>
    <row r="13">
      <c r="B13" s="22" t="n">
        <v>3</v>
      </c>
      <c r="C13" s="22" t="n"/>
      <c r="D13" s="22" t="n"/>
      <c r="E13" s="23" t="n">
        <v>0</v>
      </c>
      <c r="F13" s="24">
        <f>IF(C13="","",IF(D13="מלא",INDEX('פריטים'!$F$2:$F$10,MATCH(C13,'פריטים'!$D$2:$D$10,0)),INDEX('פריטים'!$E$2:$E$10,MATCH(C13,'פריטים'!$D$2:$D$10,0))))</f>
        <v/>
      </c>
      <c r="G13" s="24">
        <f>IF(OR(E13="",F13=""),"",E13*F13)</f>
        <v/>
      </c>
      <c r="H13" s="22" t="n"/>
    </row>
    <row r="14">
      <c r="B14" s="22" t="n">
        <v>4</v>
      </c>
      <c r="C14" s="22" t="n"/>
      <c r="D14" s="22" t="n"/>
      <c r="E14" s="23" t="n">
        <v>0</v>
      </c>
      <c r="F14" s="24">
        <f>IF(C14="","",IF(D14="מלא",INDEX('פריטים'!$F$2:$F$10,MATCH(C14,'פריטים'!$D$2:$D$10,0)),INDEX('פריטים'!$E$2:$E$10,MATCH(C14,'פריטים'!$D$2:$D$10,0))))</f>
        <v/>
      </c>
      <c r="G14" s="24">
        <f>IF(OR(E14="",F14=""),"",E14*F14)</f>
        <v/>
      </c>
      <c r="H14" s="22" t="n"/>
    </row>
    <row r="15">
      <c r="B15" s="22" t="n">
        <v>5</v>
      </c>
      <c r="C15" s="22" t="n"/>
      <c r="D15" s="22" t="n"/>
      <c r="E15" s="23" t="n">
        <v>0</v>
      </c>
      <c r="F15" s="24">
        <f>IF(C15="","",IF(D15="מלא",INDEX('פריטים'!$F$2:$F$10,MATCH(C15,'פריטים'!$D$2:$D$10,0)),INDEX('פריטים'!$E$2:$E$10,MATCH(C15,'פריטים'!$D$2:$D$10,0))))</f>
        <v/>
      </c>
      <c r="G15" s="24">
        <f>IF(OR(E15="",F15=""),"",E15*F15)</f>
        <v/>
      </c>
      <c r="H15" s="22" t="n"/>
    </row>
    <row r="16">
      <c r="B16" s="22" t="n">
        <v>6</v>
      </c>
      <c r="C16" s="22" t="n"/>
      <c r="D16" s="22" t="n"/>
      <c r="E16" s="23" t="n">
        <v>0</v>
      </c>
      <c r="F16" s="24">
        <f>IF(C16="","",IF(D16="מלא",INDEX('פריטים'!$F$2:$F$10,MATCH(C16,'פריטים'!$D$2:$D$10,0)),INDEX('פריטים'!$E$2:$E$10,MATCH(C16,'פריטים'!$D$2:$D$10,0))))</f>
        <v/>
      </c>
      <c r="G16" s="24">
        <f>IF(OR(E16="",F16=""),"",E16*F16)</f>
        <v/>
      </c>
      <c r="H16" s="22" t="n"/>
    </row>
    <row r="17">
      <c r="B17" s="22" t="n">
        <v>7</v>
      </c>
      <c r="C17" s="22" t="n"/>
      <c r="D17" s="22" t="n"/>
      <c r="E17" s="23" t="n">
        <v>0</v>
      </c>
      <c r="F17" s="24">
        <f>IF(C17="","",IF(D17="מלא",INDEX('פריטים'!$F$2:$F$10,MATCH(C17,'פריטים'!$D$2:$D$10,0)),INDEX('פריטים'!$E$2:$E$10,MATCH(C17,'פריטים'!$D$2:$D$10,0))))</f>
        <v/>
      </c>
      <c r="G17" s="24">
        <f>IF(OR(E17="",F17=""),"",E17*F17)</f>
        <v/>
      </c>
      <c r="H17" s="22" t="n"/>
    </row>
    <row r="18">
      <c r="B18" s="22" t="n">
        <v>8</v>
      </c>
      <c r="C18" s="22" t="n"/>
      <c r="D18" s="22" t="n"/>
      <c r="E18" s="23" t="n">
        <v>0</v>
      </c>
      <c r="F18" s="24">
        <f>IF(C18="","",IF(D18="מלא",INDEX('פריטים'!$F$2:$F$10,MATCH(C18,'פריטים'!$D$2:$D$10,0)),INDEX('פריטים'!$E$2:$E$10,MATCH(C18,'פריטים'!$D$2:$D$10,0))))</f>
        <v/>
      </c>
      <c r="G18" s="24">
        <f>IF(OR(E18="",F18=""),"",E18*F18)</f>
        <v/>
      </c>
      <c r="H18" s="22" t="n"/>
    </row>
    <row r="19">
      <c r="B19" s="22" t="n">
        <v>9</v>
      </c>
      <c r="C19" s="22" t="n"/>
      <c r="D19" s="22" t="n"/>
      <c r="E19" s="23" t="n">
        <v>0</v>
      </c>
      <c r="F19" s="24">
        <f>IF(C19="","",IF(D19="מלא",INDEX('פריטים'!$F$2:$F$10,MATCH(C19,'פריטים'!$D$2:$D$10,0)),INDEX('פריטים'!$E$2:$E$10,MATCH(C19,'פריטים'!$D$2:$D$10,0))))</f>
        <v/>
      </c>
      <c r="G19" s="24">
        <f>IF(OR(E19="",F19=""),"",E19*F19)</f>
        <v/>
      </c>
      <c r="H19" s="22" t="n"/>
    </row>
    <row r="20">
      <c r="B20" s="22" t="n">
        <v>10</v>
      </c>
      <c r="C20" s="22" t="n"/>
      <c r="D20" s="22" t="n"/>
      <c r="E20" s="23" t="n">
        <v>0</v>
      </c>
      <c r="F20" s="24">
        <f>IF(C20="","",IF(D20="מלא",INDEX('פריטים'!$F$2:$F$10,MATCH(C20,'פריטים'!$D$2:$D$10,0)),INDEX('פריטים'!$E$2:$E$10,MATCH(C20,'פריטים'!$D$2:$D$10,0))))</f>
        <v/>
      </c>
      <c r="G20" s="24">
        <f>IF(OR(E20="",F20=""),"",E20*F20)</f>
        <v/>
      </c>
      <c r="H20" s="22" t="n"/>
    </row>
    <row r="22">
      <c r="B22" s="16" t="inlineStr">
        <is>
          <t>פריטים קבועים</t>
        </is>
      </c>
    </row>
    <row r="23">
      <c r="B23" s="25" t="inlineStr">
        <is>
          <t>פריט</t>
        </is>
      </c>
      <c r="C23" s="25" t="inlineStr">
        <is>
          <t>שיטת קלט</t>
        </is>
      </c>
      <c r="D23" s="25" t="inlineStr">
        <is>
          <t>כמות / בחירה</t>
        </is>
      </c>
      <c r="E23" s="25" t="inlineStr">
        <is>
          <t>משקל ליחידה</t>
        </is>
      </c>
      <c r="F23" s="25" t="inlineStr">
        <is>
          <t>משקל כולל</t>
        </is>
      </c>
      <c r="G23" s="25" t="inlineStr">
        <is>
          <t>הערות</t>
        </is>
      </c>
      <c r="H23" s="25" t="inlineStr"/>
    </row>
    <row r="24">
      <c r="B24" s="22" t="inlineStr">
        <is>
          <t>עגלה</t>
        </is>
      </c>
      <c r="C24" s="22" t="inlineStr">
        <is>
          <t>כן/לא</t>
        </is>
      </c>
      <c r="D24" s="23" t="inlineStr">
        <is>
          <t>כן</t>
        </is>
      </c>
      <c r="E24" s="26" t="n">
        <v>300</v>
      </c>
      <c r="F24" s="26">
        <f>IF(D24="כן",E24,0)</f>
        <v/>
      </c>
      <c r="G24" s="22" t="n"/>
      <c r="H24" s="22" t="n"/>
    </row>
    <row r="25">
      <c r="B25" s="22" t="inlineStr">
        <is>
          <t>כלוב בלגי</t>
        </is>
      </c>
      <c r="C25" s="22" t="inlineStr">
        <is>
          <t>כמות</t>
        </is>
      </c>
      <c r="D25" s="23" t="n">
        <v>1</v>
      </c>
      <c r="E25" s="26" t="n">
        <v>160</v>
      </c>
      <c r="F25" s="26">
        <f>D25*E25</f>
        <v/>
      </c>
      <c r="G25" s="22" t="n"/>
      <c r="H25" s="22" t="n"/>
    </row>
    <row r="26">
      <c r="B26" s="22" t="inlineStr">
        <is>
          <t>כלוב 9</t>
        </is>
      </c>
      <c r="C26" s="22" t="inlineStr">
        <is>
          <t>כמות</t>
        </is>
      </c>
      <c r="D26" s="23" t="n">
        <v>0</v>
      </c>
      <c r="E26" s="26" t="n">
        <v>80</v>
      </c>
      <c r="F26" s="26">
        <f>D26*E26</f>
        <v/>
      </c>
      <c r="G26" s="22" t="n"/>
      <c r="H26" s="22" t="n"/>
    </row>
    <row r="29">
      <c r="B29" s="16" t="inlineStr">
        <is>
          <t>תוצאות הסימולציה</t>
        </is>
      </c>
    </row>
    <row r="30">
      <c r="B30" s="17" t="inlineStr">
        <is>
          <t>משקל מטען כולל</t>
        </is>
      </c>
      <c r="C30" s="27">
        <f>SUM(G11:G20)+SUM(F24:F26)</f>
        <v/>
      </c>
      <c r="E30" s="28">
        <f>'קבועים'!$B$10&amp;CHAR(10)&amp;"מגבלת הרמפה למשאית שנבחרה: "&amp;TEXT(C7,"#,##0")&amp;" ק״ג"</f>
        <v/>
      </c>
    </row>
    <row r="31">
      <c r="B31" s="17" t="inlineStr">
        <is>
          <t>משקל כולל משאית + מטען</t>
        </is>
      </c>
      <c r="C31" s="27">
        <f>C6+C30</f>
        <v/>
      </c>
    </row>
    <row r="32">
      <c r="B32" s="17" t="inlineStr">
        <is>
          <t>יתרת כושר העמסה</t>
        </is>
      </c>
      <c r="C32" s="27">
        <f>G6-C30</f>
        <v/>
      </c>
    </row>
    <row r="33">
      <c r="B33" s="17" t="inlineStr">
        <is>
          <t>ניצולת כושר העמסה</t>
        </is>
      </c>
      <c r="C33" s="29">
        <f>IF(G6=0,0,C30/G6)</f>
        <v/>
      </c>
    </row>
    <row r="34">
      <c r="B34" s="17" t="inlineStr">
        <is>
          <t>סטטוס</t>
        </is>
      </c>
      <c r="C34" s="30">
        <f>IF(C30&gt;G6,"חריגה",IF(C33&gt;='קבועים'!$B$5/100,"קרוב למגבלה","תקין"))</f>
        <v/>
      </c>
    </row>
    <row r="37">
      <c r="B37" s="31" t="inlineStr">
        <is>
          <t>שימוש: בחר משאית, הוסף פריטים וכמויות, ובחר מצב מלא או ריק. בפריטים הקבועים בחר אם קיימת עגלה והזן כמויות כלובים. מגבלת הרמפה היא מגבלה לציוד שנמצא בו־זמנית על הרמפה ואינה מחושבת אוטומטית.</t>
        </is>
      </c>
    </row>
    <row r="38"/>
    <row r="39"/>
  </sheetData>
  <mergeCells count="7">
    <mergeCell ref="B37:H39"/>
    <mergeCell ref="B22:H22"/>
    <mergeCell ref="B9:H9"/>
    <mergeCell ref="B4:H4"/>
    <mergeCell ref="E30:H34"/>
    <mergeCell ref="B2:H2"/>
    <mergeCell ref="B29:H29"/>
  </mergeCells>
  <conditionalFormatting sqref="C34">
    <cfRule type="cellIs" priority="1" operator="equal" dxfId="1">
      <formula>"חריגה"</formula>
    </cfRule>
    <cfRule type="cellIs" priority="2" operator="equal" dxfId="2">
      <formula>"קרוב למגבלה"</formula>
    </cfRule>
  </conditionalFormatting>
  <dataValidations count="4">
    <dataValidation sqref="C5" showDropDown="0" showInputMessage="0" showErrorMessage="0" allowBlank="0" type="list">
      <formula1>='משאיות'!$F$2:$F$7</formula1>
    </dataValidation>
    <dataValidation sqref="C11 C12 C13 C14 C15 C16 C17 C18 C19 C20" showDropDown="0" showInputMessage="0" showErrorMessage="0" allowBlank="1" type="list">
      <formula1>='פריטים'!$D$2:$D$10</formula1>
    </dataValidation>
    <dataValidation sqref="D11 D12 D13 D14 D15 D16 D17 D18 D19 D20" showDropDown="0" showInputMessage="0" showErrorMessage="0" allowBlank="1" type="list">
      <formula1>"מלא,ריק"</formula1>
    </dataValidation>
    <dataValidation sqref="D24" showDropDown="0" showInputMessage="0" showErrorMessage="0" allowBlank="0" type="list">
      <formula1>"כן,לא"</formula1>
    </dataValidation>
  </dataValidations>
  <pageMargins left="0.75" right="0.75" top="1" bottom="1" header="0.5" footer="0.5"/>
  <pageSetup orientation="portrait" fitToWidth="1"/>
</worksheet>
</file>

<file path=xl/worksheets/sheet2.xml><?xml version="1.0" encoding="utf-8"?>
<worksheet xmlns="http://schemas.openxmlformats.org/spreadsheetml/2006/main">
  <sheetPr>
    <outlinePr summaryBelow="1" summaryRight="1"/>
    <pageSetUpPr/>
  </sheetPr>
  <dimension ref="A1:L7"/>
  <sheetViews>
    <sheetView showGridLines="0" rightToLeft="1" tabSelected="1" topLeftCell="E1" workbookViewId="0">
      <pane ySplit="1" topLeftCell="A2" activePane="bottomLeft" state="frozen"/>
      <selection pane="bottomLeft" activeCell="E10" sqref="E10"/>
    </sheetView>
  </sheetViews>
  <sheetFormatPr baseColWidth="8" defaultRowHeight="14.25"/>
  <cols>
    <col width="12" customWidth="1" style="14" min="1" max="1"/>
    <col width="10" customWidth="1" style="14" min="2" max="2"/>
    <col width="14" customWidth="1" style="14" min="3" max="3"/>
    <col width="18" customWidth="1" style="14" min="4" max="5"/>
    <col width="28" customWidth="1" style="14" min="6" max="6"/>
    <col width="20" customWidth="1" style="14" min="7" max="7"/>
    <col width="23" customWidth="1" style="14" min="8" max="8"/>
    <col width="25" customWidth="1" style="14" min="9" max="9"/>
    <col width="21" customWidth="1" style="14" min="10" max="10"/>
    <col width="18" customWidth="1" style="14" min="11" max="11"/>
    <col width="35" customWidth="1" style="14" min="12" max="12"/>
  </cols>
  <sheetData>
    <row r="1" ht="32.1" customHeight="1" s="14">
      <c r="A1" s="1" t="inlineStr">
        <is>
          <t>מזהה</t>
        </is>
      </c>
      <c r="B1" s="1" t="inlineStr">
        <is>
          <t>פעיל</t>
        </is>
      </c>
      <c r="C1" s="1" t="inlineStr">
        <is>
          <t>יצרן</t>
        </is>
      </c>
      <c r="D1" s="1" t="inlineStr">
        <is>
          <t>ייעוד</t>
        </is>
      </c>
      <c r="E1" s="1" t="inlineStr">
        <is>
          <t>מספר משאית</t>
        </is>
      </c>
      <c r="F1" s="1" t="inlineStr">
        <is>
          <t>שם תצוגה</t>
        </is>
      </c>
      <c r="G1" s="1" t="inlineStr">
        <is>
          <t>משקל עצמי (ק״ג)</t>
        </is>
      </c>
      <c r="H1" s="1" t="inlineStr">
        <is>
          <t>משקל כולל מותר (ק״ג)</t>
        </is>
      </c>
      <c r="I1" s="1" t="inlineStr">
        <is>
          <t>כושר העמסה מחושב (ק״ג)</t>
        </is>
      </c>
      <c r="J1" s="1" t="inlineStr">
        <is>
          <t>מגבלת רמפה (ק״ג)</t>
        </is>
      </c>
      <c r="K1" s="1" t="inlineStr">
        <is>
          <t>קובץ תמונה</t>
        </is>
      </c>
      <c r="L1" s="1" t="inlineStr">
        <is>
          <t>הערות</t>
        </is>
      </c>
    </row>
    <row r="2">
      <c r="A2" s="2" t="inlineStr">
        <is>
          <t>v1</t>
        </is>
      </c>
      <c r="B2" s="2" t="inlineStr">
        <is>
          <t>כן</t>
        </is>
      </c>
      <c r="C2" s="2" t="inlineStr">
        <is>
          <t>IVECO</t>
        </is>
      </c>
      <c r="D2" s="2" t="inlineStr">
        <is>
          <t>רכב מדיקל</t>
        </is>
      </c>
      <c r="E2" s="2" t="inlineStr">
        <is>
          <t>80-430-203</t>
        </is>
      </c>
      <c r="F2" s="2" t="inlineStr">
        <is>
          <t>IVECO מדיקל · 80-430-203</t>
        </is>
      </c>
      <c r="G2" s="3" t="n">
        <v>3912</v>
      </c>
      <c r="H2" s="3" t="n">
        <v>7200</v>
      </c>
      <c r="I2" s="4">
        <f>H2-G2</f>
        <v/>
      </c>
      <c r="J2" s="3" t="n">
        <v>1500</v>
      </c>
      <c r="K2" s="2" t="inlineStr">
        <is>
          <t>iveco.jpg</t>
        </is>
      </c>
      <c r="L2" s="2" t="inlineStr">
        <is>
          <t>מגבלת רמפה 1500 ק"ג</t>
        </is>
      </c>
    </row>
    <row r="3">
      <c r="A3" s="2" t="inlineStr">
        <is>
          <t>v2</t>
        </is>
      </c>
      <c r="B3" s="2" t="inlineStr">
        <is>
          <t>כן</t>
        </is>
      </c>
      <c r="C3" s="2" t="inlineStr">
        <is>
          <t>IVECO</t>
        </is>
      </c>
      <c r="D3" s="2" t="inlineStr">
        <is>
          <t>רכב מדיקל</t>
        </is>
      </c>
      <c r="E3" s="2" t="inlineStr">
        <is>
          <t>67-793-404</t>
        </is>
      </c>
      <c r="F3" s="2" t="inlineStr">
        <is>
          <t>IVECO מדיקל · 67793404</t>
        </is>
      </c>
      <c r="G3" s="3" t="n">
        <v>3930</v>
      </c>
      <c r="H3" s="3" t="n">
        <v>7200</v>
      </c>
      <c r="I3" s="4">
        <f>H3-G3</f>
        <v/>
      </c>
      <c r="J3" s="3" t="n">
        <v>1500</v>
      </c>
      <c r="K3" s="2" t="inlineStr">
        <is>
          <t>iveco.jpg</t>
        </is>
      </c>
      <c r="L3" s="2" t="inlineStr">
        <is>
          <t>מגבלת רמפה 1500 ק"ג</t>
        </is>
      </c>
    </row>
    <row r="4">
      <c r="A4" s="2" t="inlineStr">
        <is>
          <t>v3</t>
        </is>
      </c>
      <c r="B4" s="2" t="inlineStr">
        <is>
          <t>כן</t>
        </is>
      </c>
      <c r="C4" s="2" t="inlineStr">
        <is>
          <t>DAF</t>
        </is>
      </c>
      <c r="D4" s="2" t="inlineStr">
        <is>
          <t>רכב תעשייתי</t>
        </is>
      </c>
      <c r="E4" s="2" t="inlineStr">
        <is>
          <t>11-112-39</t>
        </is>
      </c>
      <c r="F4" s="2" t="inlineStr">
        <is>
          <t>DAF תעשייתי · 11-112-39</t>
        </is>
      </c>
      <c r="G4" s="3" t="n">
        <v>6169</v>
      </c>
      <c r="H4" s="3" t="n">
        <v>12000</v>
      </c>
      <c r="I4" s="4">
        <f>H4-G4</f>
        <v/>
      </c>
      <c r="J4" s="3" t="n">
        <v>2000</v>
      </c>
      <c r="K4" s="2" t="inlineStr">
        <is>
          <t>daf.jpg</t>
        </is>
      </c>
      <c r="L4" s="2" t="inlineStr">
        <is>
          <t>מגבלת רמפה 2000 ק"ג</t>
        </is>
      </c>
    </row>
    <row r="5">
      <c r="A5" s="2" t="inlineStr">
        <is>
          <t>v4</t>
        </is>
      </c>
      <c r="B5" s="2" t="inlineStr">
        <is>
          <t>כן</t>
        </is>
      </c>
      <c r="C5" s="2" t="inlineStr">
        <is>
          <t>DAF</t>
        </is>
      </c>
      <c r="D5" s="2" t="inlineStr">
        <is>
          <t>רכב תעשייתי</t>
        </is>
      </c>
      <c r="E5" s="2" t="inlineStr">
        <is>
          <t>66-032-901</t>
        </is>
      </c>
      <c r="F5" s="2" t="inlineStr">
        <is>
          <t>DAF תעשייתי · 66-032-901</t>
        </is>
      </c>
      <c r="G5" s="3" t="n">
        <v>6030</v>
      </c>
      <c r="H5" s="3" t="n">
        <v>12000</v>
      </c>
      <c r="I5" s="4">
        <f>H5-G5</f>
        <v/>
      </c>
      <c r="J5" s="3" t="n">
        <v>2000</v>
      </c>
      <c r="K5" s="2" t="inlineStr">
        <is>
          <t>daf.jpg</t>
        </is>
      </c>
      <c r="L5" s="2" t="inlineStr">
        <is>
          <t>מגבלת רמפה 2000 ק"ג</t>
        </is>
      </c>
    </row>
    <row r="6">
      <c r="A6" s="2" t="inlineStr">
        <is>
          <t>v5</t>
        </is>
      </c>
      <c r="B6" s="2" t="inlineStr">
        <is>
          <t>כן</t>
        </is>
      </c>
      <c r="C6" s="2" t="inlineStr">
        <is>
          <t>DAF</t>
        </is>
      </c>
      <c r="D6" s="2" t="inlineStr">
        <is>
          <t>רכב תעשייתי</t>
        </is>
      </c>
      <c r="E6" s="2" t="inlineStr">
        <is>
          <t>65-941-901</t>
        </is>
      </c>
      <c r="F6" s="2" t="inlineStr">
        <is>
          <t>DAF תעשייתי · 65-941-901</t>
        </is>
      </c>
      <c r="G6" s="3" t="n">
        <v>6250</v>
      </c>
      <c r="H6" s="3" t="n">
        <v>12000</v>
      </c>
      <c r="I6" s="4">
        <f>H6-G6</f>
        <v/>
      </c>
      <c r="J6" s="3" t="n">
        <v>2000</v>
      </c>
      <c r="K6" s="2" t="inlineStr">
        <is>
          <t>daf.jpg</t>
        </is>
      </c>
      <c r="L6" s="2" t="inlineStr">
        <is>
          <t>מגבלת רמפה 2000 ק"ג</t>
        </is>
      </c>
    </row>
    <row r="7">
      <c r="A7" s="2" t="inlineStr">
        <is>
          <t>v6</t>
        </is>
      </c>
      <c r="B7" s="2" t="inlineStr">
        <is>
          <t>כן</t>
        </is>
      </c>
      <c r="C7" s="2" t="inlineStr">
        <is>
          <t>DAF</t>
        </is>
      </c>
      <c r="D7" s="2" t="inlineStr">
        <is>
          <t>רכב תעשייתי</t>
        </is>
      </c>
      <c r="E7" s="2" t="inlineStr">
        <is>
          <t>10-983-39</t>
        </is>
      </c>
      <c r="F7" s="2" t="inlineStr">
        <is>
          <t>DAF תעשייתי · 10-983-39</t>
        </is>
      </c>
      <c r="G7" s="3" t="n">
        <v>5880</v>
      </c>
      <c r="H7" s="3" t="n">
        <v>12000</v>
      </c>
      <c r="I7" s="4">
        <f>H7-G7</f>
        <v/>
      </c>
      <c r="J7" s="3" t="n">
        <v>2000</v>
      </c>
      <c r="K7" s="2" t="inlineStr">
        <is>
          <t>daf.jpg</t>
        </is>
      </c>
      <c r="L7" s="2" t="inlineStr">
        <is>
          <t>מגבלת רמפה 2000 ק"ג</t>
        </is>
      </c>
    </row>
  </sheetData>
  <autoFilter ref="A1:L7"/>
  <conditionalFormatting sqref="I2:I500">
    <cfRule type="expression" priority="1" dxfId="0">
      <formula>I2&lt;0</formula>
    </cfRule>
  </conditionalFormatting>
  <dataValidations count="1">
    <dataValidation sqref="B2:B500" showDropDown="0" showInputMessage="0" showErrorMessage="0" allowBlank="0" type="list">
      <formula1>"כן,לא"</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10"/>
  <sheetViews>
    <sheetView showGridLines="0" rightToLeft="1" workbookViewId="0">
      <pane ySplit="1" topLeftCell="A2" activePane="bottomLeft" state="frozen"/>
      <selection pane="bottomLeft" activeCell="C5" sqref="C5"/>
    </sheetView>
  </sheetViews>
  <sheetFormatPr baseColWidth="8" defaultRowHeight="14.25"/>
  <cols>
    <col width="12" customWidth="1" style="14" min="1" max="1"/>
    <col width="10" customWidth="1" style="14" min="2" max="2"/>
    <col width="18" customWidth="1" style="14" min="3" max="3"/>
    <col width="25" customWidth="1" style="14" min="4" max="4"/>
    <col width="20" customWidth="1" style="14" min="5" max="6"/>
    <col width="23" customWidth="1" style="14" min="7" max="7"/>
    <col width="16" customWidth="1" style="14" min="8" max="8"/>
    <col width="35" customWidth="1" style="14" min="9" max="9"/>
  </cols>
  <sheetData>
    <row r="1" ht="32.1" customHeight="1" s="14">
      <c r="A1" s="1" t="inlineStr">
        <is>
          <t>מזהה</t>
        </is>
      </c>
      <c r="B1" s="1" t="inlineStr">
        <is>
          <t>פעיל</t>
        </is>
      </c>
      <c r="C1" s="1" t="inlineStr">
        <is>
          <t>קטגוריה</t>
        </is>
      </c>
      <c r="D1" s="1" t="inlineStr">
        <is>
          <t>שם פריט</t>
        </is>
      </c>
      <c r="E1" s="1" t="inlineStr">
        <is>
          <t>משקל ריק (ק״ג)</t>
        </is>
      </c>
      <c r="F1" s="1" t="inlineStr">
        <is>
          <t>משקל מלא (ק״ג)</t>
        </is>
      </c>
      <c r="G1" s="1" t="inlineStr">
        <is>
          <t>הפרש מלא-ריק (ק״ג)</t>
        </is>
      </c>
      <c r="H1" s="1" t="inlineStr">
        <is>
          <t>יחידת ספירה</t>
        </is>
      </c>
      <c r="I1" s="1" t="inlineStr">
        <is>
          <t>הערות</t>
        </is>
      </c>
    </row>
    <row r="2">
      <c r="A2" s="2" t="inlineStr">
        <is>
          <t>i1</t>
        </is>
      </c>
      <c r="B2" s="2" t="inlineStr">
        <is>
          <t>כן</t>
        </is>
      </c>
      <c r="C2" s="2" t="inlineStr">
        <is>
          <t>גלילים</t>
        </is>
      </c>
      <c r="D2" s="2" t="inlineStr">
        <is>
          <t>גליל גז</t>
        </is>
      </c>
      <c r="E2" s="5" t="n">
        <v>54</v>
      </c>
      <c r="F2" s="5" t="n">
        <v>64</v>
      </c>
      <c r="G2" s="6">
        <f>F2-E2</f>
        <v/>
      </c>
      <c r="H2" s="2" t="inlineStr">
        <is>
          <t>יחידה</t>
        </is>
      </c>
      <c r="I2" s="2" t="n"/>
    </row>
    <row r="3">
      <c r="A3" s="2" t="inlineStr">
        <is>
          <t>i2</t>
        </is>
      </c>
      <c r="B3" s="2" t="inlineStr">
        <is>
          <t>כן</t>
        </is>
      </c>
      <c r="C3" s="2" t="inlineStr">
        <is>
          <t>גלילים</t>
        </is>
      </c>
      <c r="D3" s="2" t="inlineStr">
        <is>
          <t>גליל נוזל</t>
        </is>
      </c>
      <c r="E3" s="5" t="n">
        <v>54</v>
      </c>
      <c r="F3" s="5" t="n">
        <v>80</v>
      </c>
      <c r="G3" s="6">
        <f>F3-E3</f>
        <v/>
      </c>
      <c r="H3" s="2" t="inlineStr">
        <is>
          <t>יחידה</t>
        </is>
      </c>
      <c r="I3" s="2" t="n"/>
    </row>
    <row r="4">
      <c r="A4" s="2" t="inlineStr">
        <is>
          <t>i3</t>
        </is>
      </c>
      <c r="B4" s="2" t="inlineStr">
        <is>
          <t>כן</t>
        </is>
      </c>
      <c r="C4" s="2" t="inlineStr">
        <is>
          <t>גלילים</t>
        </is>
      </c>
      <c r="D4" s="2" t="inlineStr">
        <is>
          <t>גליל גז קטן</t>
        </is>
      </c>
      <c r="E4" s="5" t="n">
        <v>3</v>
      </c>
      <c r="F4" s="5" t="n">
        <v>3.5</v>
      </c>
      <c r="G4" s="6">
        <f>F4-E4</f>
        <v/>
      </c>
      <c r="H4" s="2" t="inlineStr">
        <is>
          <t>יחידה</t>
        </is>
      </c>
      <c r="I4" s="2" t="n"/>
    </row>
    <row r="5">
      <c r="A5" s="2" t="inlineStr">
        <is>
          <t>i4</t>
        </is>
      </c>
      <c r="B5" s="2" t="inlineStr">
        <is>
          <t>כן</t>
        </is>
      </c>
      <c r="C5" s="2" t="inlineStr">
        <is>
          <t>מכלים</t>
        </is>
      </c>
      <c r="D5" s="2" t="inlineStr">
        <is>
          <t>דיואר</t>
        </is>
      </c>
      <c r="E5" s="5" t="n">
        <v>150</v>
      </c>
      <c r="F5" s="5" t="n">
        <v>420</v>
      </c>
      <c r="G5" s="6">
        <f>F5-E5</f>
        <v/>
      </c>
      <c r="H5" s="2" t="inlineStr">
        <is>
          <t>יחידה</t>
        </is>
      </c>
      <c r="I5" s="2" t="n"/>
    </row>
    <row r="6">
      <c r="A6" s="2" t="inlineStr">
        <is>
          <t>i5</t>
        </is>
      </c>
      <c r="B6" s="2" t="inlineStr">
        <is>
          <t>כן</t>
        </is>
      </c>
      <c r="C6" s="2" t="inlineStr">
        <is>
          <t>סוללות</t>
        </is>
      </c>
      <c r="D6" s="2" t="inlineStr">
        <is>
          <t>סוללת 6</t>
        </is>
      </c>
      <c r="E6" s="5" t="n">
        <v>420</v>
      </c>
      <c r="F6" s="5" t="n">
        <v>480</v>
      </c>
      <c r="G6" s="6">
        <f>F6-E6</f>
        <v/>
      </c>
      <c r="H6" s="2" t="inlineStr">
        <is>
          <t>יחידה</t>
        </is>
      </c>
      <c r="I6" s="2" t="n"/>
    </row>
    <row r="7">
      <c r="A7" s="2" t="inlineStr">
        <is>
          <t>i6</t>
        </is>
      </c>
      <c r="B7" s="2" t="inlineStr">
        <is>
          <t>כן</t>
        </is>
      </c>
      <c r="C7" s="2" t="inlineStr">
        <is>
          <t>סוללות</t>
        </is>
      </c>
      <c r="D7" s="2" t="inlineStr">
        <is>
          <t>סוללת 12</t>
        </is>
      </c>
      <c r="E7" s="5" t="n">
        <v>680</v>
      </c>
      <c r="F7" s="5" t="n">
        <v>800</v>
      </c>
      <c r="G7" s="6">
        <f>F7-E7</f>
        <v/>
      </c>
      <c r="H7" s="2" t="inlineStr">
        <is>
          <t>יחידה</t>
        </is>
      </c>
      <c r="I7" s="2" t="n"/>
    </row>
    <row r="8">
      <c r="A8" s="2" t="inlineStr">
        <is>
          <t>i7</t>
        </is>
      </c>
      <c r="B8" s="2" t="inlineStr">
        <is>
          <t>כן</t>
        </is>
      </c>
      <c r="C8" s="2" t="inlineStr">
        <is>
          <t>סוללות</t>
        </is>
      </c>
      <c r="D8" s="2" t="inlineStr">
        <is>
          <t>סוללת 24</t>
        </is>
      </c>
      <c r="E8" s="5" t="n">
        <v>1700</v>
      </c>
      <c r="F8" s="5" t="n">
        <v>1940</v>
      </c>
      <c r="G8" s="6">
        <f>F8-E8</f>
        <v/>
      </c>
      <c r="H8" s="2" t="inlineStr">
        <is>
          <t>יחידה</t>
        </is>
      </c>
      <c r="I8" s="2" t="n"/>
    </row>
    <row r="9">
      <c r="A9" s="2" t="inlineStr">
        <is>
          <t>i8</t>
        </is>
      </c>
      <c r="B9" s="2" t="inlineStr">
        <is>
          <t>כן</t>
        </is>
      </c>
      <c r="C9" s="2" t="inlineStr">
        <is>
          <t>סוללות</t>
        </is>
      </c>
      <c r="D9" s="2" t="inlineStr">
        <is>
          <t>סוללת 36</t>
        </is>
      </c>
      <c r="E9" s="5" t="n">
        <v>2020</v>
      </c>
      <c r="F9" s="5" t="n">
        <v>2380</v>
      </c>
      <c r="G9" s="6">
        <f>F9-E9</f>
        <v/>
      </c>
      <c r="H9" s="2" t="inlineStr">
        <is>
          <t>יחידה</t>
        </is>
      </c>
      <c r="I9" s="2" t="n"/>
    </row>
    <row r="10">
      <c r="A10" s="2" t="inlineStr">
        <is>
          <t>i9</t>
        </is>
      </c>
      <c r="B10" s="2" t="inlineStr">
        <is>
          <t>כן</t>
        </is>
      </c>
      <c r="C10" s="2" t="inlineStr">
        <is>
          <t>סוללות</t>
        </is>
      </c>
      <c r="D10" s="2" t="inlineStr">
        <is>
          <t>סוללת פדח 4</t>
        </is>
      </c>
      <c r="E10" s="5" t="n">
        <v>372</v>
      </c>
      <c r="F10" s="5" t="n">
        <v>480</v>
      </c>
      <c r="G10" s="6">
        <f>F10-E10</f>
        <v/>
      </c>
      <c r="H10" s="2" t="inlineStr">
        <is>
          <t>יחידה</t>
        </is>
      </c>
      <c r="I10" s="2" t="n"/>
    </row>
  </sheetData>
  <autoFilter ref="A1:I10"/>
  <dataValidations count="1">
    <dataValidation sqref="B2:B500" showDropDown="0" showInputMessage="0" showErrorMessage="0" allowBlank="0" type="list">
      <formula1>"כן,לא"</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showGridLines="0" rightToLeft="1" workbookViewId="0">
      <pane ySplit="1" topLeftCell="A2" activePane="bottomLeft" state="frozen"/>
      <selection pane="bottomLeft" activeCell="C5" sqref="C5"/>
    </sheetView>
  </sheetViews>
  <sheetFormatPr baseColWidth="8" defaultRowHeight="14.25"/>
  <cols>
    <col width="12" customWidth="1" style="14" min="1" max="1"/>
    <col width="10" customWidth="1" style="14" min="2" max="2"/>
    <col width="24" customWidth="1" style="14" min="3" max="3"/>
    <col width="18" customWidth="1" style="14" min="4" max="4"/>
    <col width="23" customWidth="1" style="14" min="5" max="5"/>
    <col width="18" customWidth="1" style="14" min="6" max="7"/>
    <col width="40" customWidth="1" style="14" min="8" max="8"/>
  </cols>
  <sheetData>
    <row r="1" ht="32.1" customHeight="1" s="14">
      <c r="A1" s="1" t="inlineStr">
        <is>
          <t>מזהה</t>
        </is>
      </c>
      <c r="B1" s="1" t="inlineStr">
        <is>
          <t>פעיל</t>
        </is>
      </c>
      <c r="C1" s="1" t="inlineStr">
        <is>
          <t>שם פריט</t>
        </is>
      </c>
      <c r="D1" s="1" t="inlineStr">
        <is>
          <t>שיטת קלט</t>
        </is>
      </c>
      <c r="E1" s="1" t="inlineStr">
        <is>
          <t>משקל ליחידה (ק״ג)</t>
        </is>
      </c>
      <c r="F1" s="1" t="inlineStr">
        <is>
          <t>ברירת מחדל</t>
        </is>
      </c>
      <c r="G1" s="1" t="inlineStr">
        <is>
          <t>מופיע במתכנן</t>
        </is>
      </c>
      <c r="H1" s="1" t="inlineStr">
        <is>
          <t>הערות</t>
        </is>
      </c>
    </row>
    <row r="2">
      <c r="A2" s="2" t="inlineStr">
        <is>
          <t>f1</t>
        </is>
      </c>
      <c r="B2" s="2" t="inlineStr">
        <is>
          <t>כן</t>
        </is>
      </c>
      <c r="C2" s="2" t="inlineStr">
        <is>
          <t>עגלה</t>
        </is>
      </c>
      <c r="D2" s="2" t="inlineStr">
        <is>
          <t>כן/לא</t>
        </is>
      </c>
      <c r="E2" s="3" t="n">
        <v>300</v>
      </c>
      <c r="F2" s="2" t="inlineStr">
        <is>
          <t>אין</t>
        </is>
      </c>
      <c r="G2" s="2" t="inlineStr">
        <is>
          <t>לא</t>
        </is>
      </c>
      <c r="H2" s="2" t="inlineStr">
        <is>
          <t>משקל קבוע באפליקציה</t>
        </is>
      </c>
    </row>
    <row r="3">
      <c r="A3" s="2" t="inlineStr">
        <is>
          <t>f2</t>
        </is>
      </c>
      <c r="B3" s="2" t="inlineStr">
        <is>
          <t>כן</t>
        </is>
      </c>
      <c r="C3" s="2" t="inlineStr">
        <is>
          <t>כלוב בלגי</t>
        </is>
      </c>
      <c r="D3" s="2" t="inlineStr">
        <is>
          <t>כמות</t>
        </is>
      </c>
      <c r="E3" s="3" t="n">
        <v>160</v>
      </c>
      <c r="F3" s="2" t="n">
        <v>0</v>
      </c>
      <c r="G3" s="2" t="inlineStr">
        <is>
          <t>כן</t>
        </is>
      </c>
      <c r="H3" s="2" t="inlineStr">
        <is>
          <t>משקל קבוע ליחידה</t>
        </is>
      </c>
    </row>
    <row r="4">
      <c r="A4" s="2" t="inlineStr">
        <is>
          <t>f3</t>
        </is>
      </c>
      <c r="B4" s="2" t="inlineStr">
        <is>
          <t>כן</t>
        </is>
      </c>
      <c r="C4" s="2" t="inlineStr">
        <is>
          <t>כלוב 9</t>
        </is>
      </c>
      <c r="D4" s="2" t="inlineStr">
        <is>
          <t>כמות</t>
        </is>
      </c>
      <c r="E4" s="3" t="n">
        <v>80</v>
      </c>
      <c r="F4" s="2" t="n">
        <v>0</v>
      </c>
      <c r="G4" s="2" t="inlineStr">
        <is>
          <t>כן</t>
        </is>
      </c>
      <c r="H4" s="2" t="inlineStr">
        <is>
          <t>משקל קבוע ליחידה</t>
        </is>
      </c>
    </row>
  </sheetData>
  <autoFilter ref="A1:H4"/>
  <dataValidations count="1">
    <dataValidation sqref="B2:B500 G2:G500" showDropDown="0" showInputMessage="0" showErrorMessage="0" allowBlank="0" type="list">
      <formula1>"כן,לא"</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showGridLines="0" rightToLeft="1" workbookViewId="0">
      <pane ySplit="1" topLeftCell="A2" activePane="bottomLeft" state="frozen"/>
      <selection pane="bottomLeft" activeCell="A1" sqref="A1"/>
    </sheetView>
  </sheetViews>
  <sheetFormatPr baseColWidth="8" defaultRowHeight="14.25"/>
  <cols>
    <col width="16" customWidth="1" style="14" min="1" max="1"/>
    <col width="26" customWidth="1" style="14" min="2" max="2"/>
    <col width="14" customWidth="1" style="14" min="3" max="3"/>
    <col width="18" customWidth="1" style="14" min="4" max="4"/>
    <col width="24" customWidth="1" style="14" min="5" max="5"/>
    <col width="10" customWidth="1" style="14" min="6" max="6"/>
  </cols>
  <sheetData>
    <row r="1" ht="32.1" customHeight="1" s="14">
      <c r="A1" s="1" t="inlineStr">
        <is>
          <t>מזהה פריט</t>
        </is>
      </c>
      <c r="B1" s="1" t="inlineStr">
        <is>
          <t>שם פריט</t>
        </is>
      </c>
      <c r="C1" s="1" t="inlineStr">
        <is>
          <t>מצב</t>
        </is>
      </c>
      <c r="D1" s="1" t="inlineStr">
        <is>
          <t>משקל (ק״ג)</t>
        </is>
      </c>
      <c r="E1" s="1" t="inlineStr">
        <is>
          <t>מקור נתון</t>
        </is>
      </c>
      <c r="F1" s="1" t="inlineStr">
        <is>
          <t>פעיל</t>
        </is>
      </c>
    </row>
    <row r="2">
      <c r="A2" s="7" t="inlineStr">
        <is>
          <t>i1</t>
        </is>
      </c>
      <c r="B2" s="7" t="inlineStr">
        <is>
          <t>גליל גז</t>
        </is>
      </c>
      <c r="C2" s="7" t="inlineStr">
        <is>
          <t>ריק</t>
        </is>
      </c>
      <c r="D2" s="8" t="n">
        <v>54</v>
      </c>
      <c r="E2" s="7" t="inlineStr">
        <is>
          <t>גיליון פריטים</t>
        </is>
      </c>
      <c r="F2" s="7" t="inlineStr">
        <is>
          <t>כן</t>
        </is>
      </c>
    </row>
    <row r="3">
      <c r="A3" s="7" t="inlineStr">
        <is>
          <t>i1</t>
        </is>
      </c>
      <c r="B3" s="7" t="inlineStr">
        <is>
          <t>גליל גז</t>
        </is>
      </c>
      <c r="C3" s="7" t="inlineStr">
        <is>
          <t>מלא</t>
        </is>
      </c>
      <c r="D3" s="8" t="n">
        <v>64</v>
      </c>
      <c r="E3" s="7" t="inlineStr">
        <is>
          <t>גיליון פריטים</t>
        </is>
      </c>
      <c r="F3" s="7" t="inlineStr">
        <is>
          <t>כן</t>
        </is>
      </c>
    </row>
    <row r="4">
      <c r="A4" s="7" t="inlineStr">
        <is>
          <t>i2</t>
        </is>
      </c>
      <c r="B4" s="7" t="inlineStr">
        <is>
          <t>גליל נוזל</t>
        </is>
      </c>
      <c r="C4" s="7" t="inlineStr">
        <is>
          <t>ריק</t>
        </is>
      </c>
      <c r="D4" s="8" t="n">
        <v>54</v>
      </c>
      <c r="E4" s="7" t="inlineStr">
        <is>
          <t>גיליון פריטים</t>
        </is>
      </c>
      <c r="F4" s="7" t="inlineStr">
        <is>
          <t>כן</t>
        </is>
      </c>
    </row>
    <row r="5">
      <c r="A5" s="7" t="inlineStr">
        <is>
          <t>i2</t>
        </is>
      </c>
      <c r="B5" s="7" t="inlineStr">
        <is>
          <t>גליל נוזל</t>
        </is>
      </c>
      <c r="C5" s="7" t="inlineStr">
        <is>
          <t>מלא</t>
        </is>
      </c>
      <c r="D5" s="8" t="n">
        <v>80</v>
      </c>
      <c r="E5" s="7" t="inlineStr">
        <is>
          <t>גיליון פריטים</t>
        </is>
      </c>
      <c r="F5" s="7" t="inlineStr">
        <is>
          <t>כן</t>
        </is>
      </c>
    </row>
    <row r="6">
      <c r="A6" s="7" t="inlineStr">
        <is>
          <t>i3</t>
        </is>
      </c>
      <c r="B6" s="7" t="inlineStr">
        <is>
          <t>גליל קטן</t>
        </is>
      </c>
      <c r="C6" s="7" t="inlineStr">
        <is>
          <t>ריק</t>
        </is>
      </c>
      <c r="D6" s="8" t="n">
        <v>3</v>
      </c>
      <c r="E6" s="7" t="inlineStr">
        <is>
          <t>גיליון פריטים</t>
        </is>
      </c>
      <c r="F6" s="7" t="inlineStr">
        <is>
          <t>כן</t>
        </is>
      </c>
    </row>
    <row r="7">
      <c r="A7" s="7" t="inlineStr">
        <is>
          <t>i3</t>
        </is>
      </c>
      <c r="B7" s="7" t="inlineStr">
        <is>
          <t>גליל קטן</t>
        </is>
      </c>
      <c r="C7" s="7" t="inlineStr">
        <is>
          <t>מלא</t>
        </is>
      </c>
      <c r="D7" s="8" t="n">
        <v>3.5</v>
      </c>
      <c r="E7" s="7" t="inlineStr">
        <is>
          <t>גיליון פריטים</t>
        </is>
      </c>
      <c r="F7" s="7" t="inlineStr">
        <is>
          <t>כן</t>
        </is>
      </c>
    </row>
    <row r="8">
      <c r="A8" s="7" t="inlineStr">
        <is>
          <t>i4</t>
        </is>
      </c>
      <c r="B8" s="7" t="inlineStr">
        <is>
          <t>דיואר</t>
        </is>
      </c>
      <c r="C8" s="7" t="inlineStr">
        <is>
          <t>ריק</t>
        </is>
      </c>
      <c r="D8" s="8" t="n">
        <v>150</v>
      </c>
      <c r="E8" s="7" t="inlineStr">
        <is>
          <t>גיליון פריטים</t>
        </is>
      </c>
      <c r="F8" s="7" t="inlineStr">
        <is>
          <t>כן</t>
        </is>
      </c>
    </row>
    <row r="9">
      <c r="A9" s="7" t="inlineStr">
        <is>
          <t>i4</t>
        </is>
      </c>
      <c r="B9" s="7" t="inlineStr">
        <is>
          <t>דיואר</t>
        </is>
      </c>
      <c r="C9" s="7" t="inlineStr">
        <is>
          <t>מלא</t>
        </is>
      </c>
      <c r="D9" s="8" t="n">
        <v>420</v>
      </c>
      <c r="E9" s="7" t="inlineStr">
        <is>
          <t>גיליון פריטים</t>
        </is>
      </c>
      <c r="F9" s="7" t="inlineStr">
        <is>
          <t>כן</t>
        </is>
      </c>
    </row>
    <row r="10">
      <c r="A10" s="7" t="inlineStr">
        <is>
          <t>i5</t>
        </is>
      </c>
      <c r="B10" s="7" t="inlineStr">
        <is>
          <t>סוללת 6</t>
        </is>
      </c>
      <c r="C10" s="7" t="inlineStr">
        <is>
          <t>ריק</t>
        </is>
      </c>
      <c r="D10" s="8" t="n">
        <v>420</v>
      </c>
      <c r="E10" s="7" t="inlineStr">
        <is>
          <t>גיליון פריטים</t>
        </is>
      </c>
      <c r="F10" s="7" t="inlineStr">
        <is>
          <t>כן</t>
        </is>
      </c>
    </row>
    <row r="11">
      <c r="A11" s="7" t="inlineStr">
        <is>
          <t>i5</t>
        </is>
      </c>
      <c r="B11" s="7" t="inlineStr">
        <is>
          <t>סוללת 6</t>
        </is>
      </c>
      <c r="C11" s="7" t="inlineStr">
        <is>
          <t>מלא</t>
        </is>
      </c>
      <c r="D11" s="8" t="n">
        <v>480</v>
      </c>
      <c r="E11" s="7" t="inlineStr">
        <is>
          <t>גיליון פריטים</t>
        </is>
      </c>
      <c r="F11" s="7" t="inlineStr">
        <is>
          <t>כן</t>
        </is>
      </c>
    </row>
    <row r="12">
      <c r="A12" s="7" t="inlineStr">
        <is>
          <t>i6</t>
        </is>
      </c>
      <c r="B12" s="7" t="inlineStr">
        <is>
          <t>סוללת 12</t>
        </is>
      </c>
      <c r="C12" s="7" t="inlineStr">
        <is>
          <t>ריק</t>
        </is>
      </c>
      <c r="D12" s="8" t="n">
        <v>680</v>
      </c>
      <c r="E12" s="7" t="inlineStr">
        <is>
          <t>גיליון פריטים</t>
        </is>
      </c>
      <c r="F12" s="7" t="inlineStr">
        <is>
          <t>כן</t>
        </is>
      </c>
    </row>
    <row r="13">
      <c r="A13" s="7" t="inlineStr">
        <is>
          <t>i6</t>
        </is>
      </c>
      <c r="B13" s="7" t="inlineStr">
        <is>
          <t>סוללת 12</t>
        </is>
      </c>
      <c r="C13" s="7" t="inlineStr">
        <is>
          <t>מלא</t>
        </is>
      </c>
      <c r="D13" s="8" t="n">
        <v>800</v>
      </c>
      <c r="E13" s="7" t="inlineStr">
        <is>
          <t>גיליון פריטים</t>
        </is>
      </c>
      <c r="F13" s="7" t="inlineStr">
        <is>
          <t>כן</t>
        </is>
      </c>
    </row>
    <row r="14">
      <c r="A14" s="7" t="inlineStr">
        <is>
          <t>i7</t>
        </is>
      </c>
      <c r="B14" s="7" t="inlineStr">
        <is>
          <t>סוללת 24</t>
        </is>
      </c>
      <c r="C14" s="7" t="inlineStr">
        <is>
          <t>ריק</t>
        </is>
      </c>
      <c r="D14" s="8" t="n">
        <v>1700</v>
      </c>
      <c r="E14" s="7" t="inlineStr">
        <is>
          <t>גיליון פריטים</t>
        </is>
      </c>
      <c r="F14" s="7" t="inlineStr">
        <is>
          <t>כן</t>
        </is>
      </c>
    </row>
    <row r="15">
      <c r="A15" s="7" t="inlineStr">
        <is>
          <t>i7</t>
        </is>
      </c>
      <c r="B15" s="7" t="inlineStr">
        <is>
          <t>סוללת 24</t>
        </is>
      </c>
      <c r="C15" s="7" t="inlineStr">
        <is>
          <t>מלא</t>
        </is>
      </c>
      <c r="D15" s="8" t="n">
        <v>1940</v>
      </c>
      <c r="E15" s="7" t="inlineStr">
        <is>
          <t>גיליון פריטים</t>
        </is>
      </c>
      <c r="F15" s="7" t="inlineStr">
        <is>
          <t>כן</t>
        </is>
      </c>
    </row>
    <row r="16">
      <c r="A16" s="7" t="inlineStr">
        <is>
          <t>i8</t>
        </is>
      </c>
      <c r="B16" s="7" t="inlineStr">
        <is>
          <t>סוללת 36</t>
        </is>
      </c>
      <c r="C16" s="7" t="inlineStr">
        <is>
          <t>ריק</t>
        </is>
      </c>
      <c r="D16" s="8" t="n">
        <v>2020</v>
      </c>
      <c r="E16" s="7" t="inlineStr">
        <is>
          <t>גיליון פריטים</t>
        </is>
      </c>
      <c r="F16" s="7" t="inlineStr">
        <is>
          <t>כן</t>
        </is>
      </c>
    </row>
    <row r="17">
      <c r="A17" s="7" t="inlineStr">
        <is>
          <t>i8</t>
        </is>
      </c>
      <c r="B17" s="7" t="inlineStr">
        <is>
          <t>סוללת 36</t>
        </is>
      </c>
      <c r="C17" s="7" t="inlineStr">
        <is>
          <t>מלא</t>
        </is>
      </c>
      <c r="D17" s="8" t="n">
        <v>2380</v>
      </c>
      <c r="E17" s="7" t="inlineStr">
        <is>
          <t>גיליון פריטים</t>
        </is>
      </c>
      <c r="F17" s="7" t="inlineStr">
        <is>
          <t>כן</t>
        </is>
      </c>
    </row>
    <row r="18">
      <c r="A18" s="7" t="inlineStr">
        <is>
          <t>i9</t>
        </is>
      </c>
      <c r="B18" s="7" t="inlineStr">
        <is>
          <t>סוללת פדח 4</t>
        </is>
      </c>
      <c r="C18" s="7" t="inlineStr">
        <is>
          <t>ריק</t>
        </is>
      </c>
      <c r="D18" s="8" t="n">
        <v>372</v>
      </c>
      <c r="E18" s="7" t="inlineStr">
        <is>
          <t>גיליון פריטים</t>
        </is>
      </c>
      <c r="F18" s="7" t="inlineStr">
        <is>
          <t>כן</t>
        </is>
      </c>
    </row>
    <row r="19">
      <c r="A19" s="7" t="inlineStr">
        <is>
          <t>i9</t>
        </is>
      </c>
      <c r="B19" s="7" t="inlineStr">
        <is>
          <t>סוללת פדח 4</t>
        </is>
      </c>
      <c r="C19" s="7" t="inlineStr">
        <is>
          <t>מלא</t>
        </is>
      </c>
      <c r="D19" s="8" t="n">
        <v>480</v>
      </c>
      <c r="E19" s="7" t="inlineStr">
        <is>
          <t>גיליון פריטים</t>
        </is>
      </c>
      <c r="F19" s="7" t="inlineStr">
        <is>
          <t>כן</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showGridLines="0" rightToLeft="1" workbookViewId="0">
      <pane ySplit="1" topLeftCell="A2" activePane="bottomLeft" state="frozen"/>
      <selection pane="bottomLeft" activeCell="F11" sqref="F11"/>
    </sheetView>
  </sheetViews>
  <sheetFormatPr baseColWidth="8" defaultRowHeight="14.25"/>
  <cols>
    <col width="28" customWidth="1" style="14" min="1" max="1"/>
    <col width="18" customWidth="1" style="14" min="2" max="3"/>
    <col width="45" customWidth="1" style="14" min="4" max="4"/>
    <col width="18" customWidth="1" style="14" min="5" max="5"/>
    <col width="40" customWidth="1" style="14" min="6" max="6"/>
  </cols>
  <sheetData>
    <row r="1" ht="32.1" customHeight="1" s="14">
      <c r="A1" s="1" t="inlineStr">
        <is>
          <t>מפתח</t>
        </is>
      </c>
      <c r="B1" s="1" t="inlineStr">
        <is>
          <t>ערך</t>
        </is>
      </c>
      <c r="C1" s="1" t="inlineStr">
        <is>
          <t>סוג נתון</t>
        </is>
      </c>
      <c r="D1" s="1" t="inlineStr">
        <is>
          <t>תיאור</t>
        </is>
      </c>
      <c r="E1" s="1" t="inlineStr">
        <is>
          <t>ניתן לשינוי</t>
        </is>
      </c>
      <c r="F1" s="1" t="inlineStr">
        <is>
          <t>הערות</t>
        </is>
      </c>
    </row>
    <row r="2">
      <c r="A2" s="9" t="inlineStr">
        <is>
          <t>data_version</t>
        </is>
      </c>
      <c r="B2" s="9" t="inlineStr">
        <is>
          <t>3.2</t>
        </is>
      </c>
      <c r="C2" s="9" t="inlineStr">
        <is>
          <t>טקסט</t>
        </is>
      </c>
      <c r="D2" s="9" t="inlineStr">
        <is>
          <t>גרסת קובץ הנתונים</t>
        </is>
      </c>
      <c r="E2" s="9" t="inlineStr">
        <is>
          <t>כן</t>
        </is>
      </c>
      <c r="F2" s="9" t="n"/>
    </row>
    <row r="3">
      <c r="A3" s="9" t="inlineStr">
        <is>
          <t>app_version</t>
        </is>
      </c>
      <c r="B3" s="9" t="inlineStr">
        <is>
          <t>3.1</t>
        </is>
      </c>
      <c r="C3" s="9" t="inlineStr">
        <is>
          <t>טקסט</t>
        </is>
      </c>
      <c r="D3" s="9" t="inlineStr">
        <is>
          <t>גרסת האפליקציה התואמת</t>
        </is>
      </c>
      <c r="E3" s="9" t="inlineStr">
        <is>
          <t>כן</t>
        </is>
      </c>
      <c r="F3" s="9" t="n"/>
    </row>
    <row r="4">
      <c r="A4" s="9" t="inlineStr">
        <is>
          <t>weight_unit</t>
        </is>
      </c>
      <c r="B4" s="9" t="inlineStr">
        <is>
          <t>ק״ג</t>
        </is>
      </c>
      <c r="C4" s="9" t="inlineStr">
        <is>
          <t>טקסט</t>
        </is>
      </c>
      <c r="D4" s="9" t="inlineStr">
        <is>
          <t>יחידת המשקל המוצגת</t>
        </is>
      </c>
      <c r="E4" s="9" t="inlineStr">
        <is>
          <t>לא</t>
        </is>
      </c>
      <c r="F4" s="9" t="n"/>
    </row>
    <row r="5">
      <c r="A5" s="9" t="inlineStr">
        <is>
          <t>warning_threshold_pct</t>
        </is>
      </c>
      <c r="B5" s="10" t="n">
        <v>90</v>
      </c>
      <c r="C5" s="9" t="inlineStr">
        <is>
          <t>אחוז</t>
        </is>
      </c>
      <c r="D5" s="9" t="inlineStr">
        <is>
          <t>מעל ערך זה מוצגת התראת קרבה למגבלה</t>
        </is>
      </c>
      <c r="E5" s="9" t="inlineStr">
        <is>
          <t>כן</t>
        </is>
      </c>
      <c r="F5" s="9" t="n"/>
    </row>
    <row r="6">
      <c r="A6" s="9" t="inlineStr">
        <is>
          <t>overload_threshold_pct</t>
        </is>
      </c>
      <c r="B6" s="10" t="n">
        <v>100</v>
      </c>
      <c r="C6" s="9" t="inlineStr">
        <is>
          <t>אחוז</t>
        </is>
      </c>
      <c r="D6" s="9" t="inlineStr">
        <is>
          <t>מעל ערך זה מוצגת חריגה</t>
        </is>
      </c>
      <c r="E6" s="9" t="inlineStr">
        <is>
          <t>לא</t>
        </is>
      </c>
      <c r="F6" s="9" t="n"/>
    </row>
    <row r="7">
      <c r="A7" s="9" t="inlineStr">
        <is>
          <t>default_quantity</t>
        </is>
      </c>
      <c r="B7" s="9" t="n">
        <v>1</v>
      </c>
      <c r="C7" s="9" t="inlineStr">
        <is>
          <t>מספר</t>
        </is>
      </c>
      <c r="D7" s="9" t="inlineStr">
        <is>
          <t>כמות ברירת מחדל בשורה חדשה</t>
        </is>
      </c>
      <c r="E7" s="9" t="inlineStr">
        <is>
          <t>כן</t>
        </is>
      </c>
      <c r="F7" s="9" t="n"/>
    </row>
    <row r="8">
      <c r="A8" s="9" t="inlineStr">
        <is>
          <t>default_item_id</t>
        </is>
      </c>
      <c r="B8" s="9" t="inlineStr">
        <is>
          <t>i1</t>
        </is>
      </c>
      <c r="C8" s="9" t="inlineStr">
        <is>
          <t>טקסט</t>
        </is>
      </c>
      <c r="D8" s="9" t="inlineStr">
        <is>
          <t>פריט ברירת מחדל בשורה חדשה</t>
        </is>
      </c>
      <c r="E8" s="9" t="inlineStr">
        <is>
          <t>כן</t>
        </is>
      </c>
      <c r="F8" s="9" t="n"/>
    </row>
    <row r="9">
      <c r="A9" s="9" t="inlineStr">
        <is>
          <t>default_status</t>
        </is>
      </c>
      <c r="B9" s="9" t="inlineStr">
        <is>
          <t>מלא</t>
        </is>
      </c>
      <c r="C9" s="9" t="inlineStr">
        <is>
          <t>טקסט</t>
        </is>
      </c>
      <c r="D9" s="9" t="inlineStr">
        <is>
          <t>מצב ברירת מחדל בשורה חדשה</t>
        </is>
      </c>
      <c r="E9" s="9" t="inlineStr">
        <is>
          <t>כן</t>
        </is>
      </c>
      <c r="F9" s="9" t="n"/>
    </row>
    <row r="10" ht="57" customHeight="1" s="14">
      <c r="A10" s="9" t="inlineStr">
        <is>
          <t>ramp_message</t>
        </is>
      </c>
      <c r="B10" s="9" t="inlineStr">
        <is>
          <t>יש לוודא שסך הציוד שנמצא בו־זמנית על הרמפה אינו עולה על המגבלה.</t>
        </is>
      </c>
      <c r="C10" s="9" t="inlineStr">
        <is>
          <t>טקסט</t>
        </is>
      </c>
      <c r="D10" s="9" t="inlineStr">
        <is>
          <t>נוסח הודעת מגבלת רמפה</t>
        </is>
      </c>
      <c r="E10" s="9" t="inlineStr">
        <is>
          <t>כן</t>
        </is>
      </c>
      <c r="F10" s="9" t="inlineStr">
        <is>
          <t>להציג הערות משאית</t>
        </is>
      </c>
    </row>
    <row r="11">
      <c r="A11" s="9" t="inlineStr">
        <is>
          <t>show_truck_images</t>
        </is>
      </c>
      <c r="B11" s="9" t="inlineStr">
        <is>
          <t>כן</t>
        </is>
      </c>
      <c r="C11" s="9" t="inlineStr">
        <is>
          <t>כן/לא</t>
        </is>
      </c>
      <c r="D11" s="9" t="inlineStr">
        <is>
          <t>הצגת תמונות המשאיות</t>
        </is>
      </c>
      <c r="E11" s="9" t="inlineStr">
        <is>
          <t>כן</t>
        </is>
      </c>
      <c r="F11" s="9" t="n"/>
    </row>
  </sheetData>
  <autoFilter ref="A1:F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showGridLines="0" rightToLeft="1" workbookViewId="0">
      <selection activeCell="A1" sqref="A1:B1"/>
    </sheetView>
  </sheetViews>
  <sheetFormatPr baseColWidth="8" defaultRowHeight="14.25"/>
  <cols>
    <col width="28" customWidth="1" style="14" min="1" max="1"/>
    <col width="105" customWidth="1" style="14" min="2" max="2"/>
  </cols>
  <sheetData>
    <row r="1" ht="23.25" customHeight="1" s="14">
      <c r="A1" s="13" t="inlineStr">
        <is>
          <t>MAX Load – קובץ נתונים מלא</t>
        </is>
      </c>
    </row>
    <row r="3" ht="42" customHeight="1" s="14">
      <c r="A3" s="11" t="inlineStr">
        <is>
          <t>מטרה</t>
        </is>
      </c>
      <c r="B3" s="12" t="inlineStr">
        <is>
          <t>הקובץ מרכז את כל נתוני המשאיות, הפריטים, הפריטים הקבועים, המשקלים במצב מלא/ריק והקבועים של האפליקציה.</t>
        </is>
      </c>
    </row>
    <row r="4" ht="42" customHeight="1" s="14">
      <c r="A4" s="11" t="inlineStr">
        <is>
          <t>שינוי משאית</t>
        </is>
      </c>
      <c r="B4" s="12" t="inlineStr">
        <is>
          <t>ערוך את השורה המתאימה בגיליון משאיות. אין לשנות את המזהה, אלא אם גם קוד האפליקציה מותאם לכך.</t>
        </is>
      </c>
    </row>
    <row r="5" ht="42" customHeight="1" s="14">
      <c r="A5" s="11" t="inlineStr">
        <is>
          <t>הוספת משאית</t>
        </is>
      </c>
      <c r="B5" s="12" t="inlineStr">
        <is>
          <t>הוסף שורה חדשה בגיליון משאיות, קבע מזהה ייחודי, בחר כן בעמודת פעיל ומלא את כל המשקלים.</t>
        </is>
      </c>
    </row>
    <row r="6" ht="42" customHeight="1" s="14">
      <c r="A6" s="11" t="inlineStr">
        <is>
          <t>שינוי פריט</t>
        </is>
      </c>
      <c r="B6" s="12" t="inlineStr">
        <is>
          <t>ערוך משקל ריק ומשקל מלא בגיליון פריטים. ההפרש מחושב אוטומטית.</t>
        </is>
      </c>
    </row>
    <row r="7" ht="42" customHeight="1" s="14">
      <c r="A7" s="11" t="inlineStr">
        <is>
          <t>הוספת פריט</t>
        </is>
      </c>
      <c r="B7" s="12" t="inlineStr">
        <is>
          <t>הוסף שורה חדשה בגיליון פריטים עם מזהה ייחודי. הפריט צריך להיקלט גם בקוד/ייבוא הנתונים של האפליקציה.</t>
        </is>
      </c>
    </row>
    <row r="8" ht="42" customHeight="1" s="14">
      <c r="A8" s="11" t="inlineStr">
        <is>
          <t>פריטים קבועים</t>
        </is>
      </c>
      <c r="B8" s="12" t="inlineStr">
        <is>
          <t>עגלה וכלובים מנוהלים בגיליון פריטים קבועים.</t>
        </is>
      </c>
    </row>
    <row r="9" ht="42" customHeight="1" s="14">
      <c r="A9" s="11" t="inlineStr">
        <is>
          <t>מלאים וריקים</t>
        </is>
      </c>
      <c r="B9" s="12" t="inlineStr">
        <is>
          <t>גיליון זה הוא תצוגת בקרה מלאה של כל פריט בשני המצבים; מקור הנתונים הוא גיליון פריטים.</t>
        </is>
      </c>
    </row>
    <row r="10" ht="42" customHeight="1" s="14">
      <c r="A10" s="11" t="inlineStr">
        <is>
          <t>צבעים</t>
        </is>
      </c>
      <c r="B10" s="12" t="inlineStr">
        <is>
          <t>כחול = נתון שניתן לערוך; שחור = נוסחה מחושבת; ירוק = נתון שהועתק/קושר; אפור = קבוע מערכת.</t>
        </is>
      </c>
    </row>
    <row r="11" ht="42" customHeight="1" s="14">
      <c r="A11" s="11" t="inlineStr">
        <is>
          <t>חשוב</t>
        </is>
      </c>
      <c r="B11" s="12" t="inlineStr">
        <is>
          <t>האפליקציה הנוכחית אינה קוראת קובץ Excel ישירות. לאחר שינוי הקובץ יש לעדכן את נתוני האפליקציה או לבנות מנגנון ייבוא.</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2026-07-27T10:16:05Z</dcterms:created>
  <dcterms:modified xmlns:dcterms="http://purl.org/dc/terms/" xmlns:xsi="http://www.w3.org/2001/XMLSchema-instance" xsi:type="dcterms:W3CDTF">2026-07-27T10:22:43Z</dcterms:modified>
  <cp:lastModifiedBy>Alex Shnol</cp:lastModifiedBy>
</cp:coreProperties>
</file>